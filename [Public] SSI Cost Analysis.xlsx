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9ec496dbfc9a50/04. Proyectos y Voluntariado/12. MORU/AMR Screening/"/>
    </mc:Choice>
  </mc:AlternateContent>
  <xr:revisionPtr revIDLastSave="660" documentId="8_{664B9E9D-0007-48B0-8753-EFC0DFB648DF}" xr6:coauthVersionLast="47" xr6:coauthVersionMax="47" xr10:uidLastSave="{0D45EFB2-6BD7-4CBD-847A-F3377C84369C}"/>
  <workbookProtection workbookAlgorithmName="SHA-512" workbookHashValue="a4wE0rWrDFE8FkICZEHf7gHY+q4obtZ9kqPrprOTo2afXK4xM/Msr7Kk+xQcBdXByhCYvqmh9+dKzFaIE/j8FA==" workbookSaltValue="3UOeTTh1r8+pYjJ2z2f7Ow==" workbookSpinCount="100000" lockStructure="1"/>
  <bookViews>
    <workbookView xWindow="-28920" yWindow="-120" windowWidth="29040" windowHeight="15720" xr2:uid="{CD053D4C-0489-4124-9B55-B510F7FA626D}"/>
  </bookViews>
  <sheets>
    <sheet name="Cost Model" sheetId="1" r:id="rId1"/>
    <sheet name="Prices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H11" i="1"/>
  <c r="H10" i="1"/>
  <c r="H9" i="1"/>
  <c r="H18" i="1" l="1"/>
  <c r="H22" i="1"/>
  <c r="F18" i="1"/>
  <c r="L5" i="1"/>
  <c r="F22" i="1"/>
  <c r="M6" i="1"/>
  <c r="M3" i="1" l="1"/>
  <c r="L3" i="1" l="1"/>
  <c r="L4" i="1"/>
  <c r="K4" i="1"/>
  <c r="M4" i="1"/>
  <c r="M5" i="1"/>
  <c r="H3" i="1"/>
  <c r="N3" i="1" s="1"/>
  <c r="L9" i="1"/>
  <c r="L6" i="1"/>
  <c r="R9" i="1" l="1"/>
  <c r="N9" i="1"/>
  <c r="R3" i="1"/>
  <c r="B23" i="3"/>
  <c r="B15" i="3"/>
  <c r="K14" i="1"/>
  <c r="K11" i="1"/>
  <c r="H12" i="1"/>
  <c r="K5" i="1" l="1"/>
  <c r="K8" i="1"/>
  <c r="L19" i="1"/>
  <c r="J4" i="1"/>
  <c r="B25" i="3"/>
  <c r="J5" i="1" l="1"/>
  <c r="B6" i="3"/>
  <c r="B26" i="3"/>
  <c r="B24" i="3"/>
  <c r="B10" i="3"/>
  <c r="F6" i="1" l="1"/>
  <c r="F10" i="1"/>
  <c r="G14" i="1"/>
  <c r="G13" i="1"/>
  <c r="G12" i="1"/>
  <c r="G11" i="1"/>
  <c r="G10" i="1"/>
  <c r="G9" i="1"/>
  <c r="F14" i="1"/>
  <c r="F13" i="1"/>
  <c r="F12" i="1"/>
  <c r="F11" i="1"/>
  <c r="F9" i="1"/>
  <c r="F8" i="1"/>
  <c r="F7" i="1"/>
  <c r="J8" i="1"/>
  <c r="B14" i="3"/>
  <c r="H7" i="1" s="1"/>
  <c r="J11" i="1" l="1"/>
  <c r="L14" i="1"/>
  <c r="L12" i="1"/>
  <c r="L10" i="1"/>
  <c r="L13" i="1"/>
  <c r="L11" i="1"/>
  <c r="J7" i="1"/>
  <c r="H14" i="1"/>
  <c r="H13" i="1"/>
  <c r="H8" i="1"/>
  <c r="H6" i="1"/>
  <c r="H5" i="1"/>
  <c r="H4" i="1"/>
  <c r="N4" i="1" l="1"/>
  <c r="R4" i="1"/>
  <c r="N5" i="1"/>
  <c r="R5" i="1"/>
  <c r="N6" i="1"/>
  <c r="R6" i="1"/>
  <c r="R12" i="1"/>
  <c r="N12" i="1"/>
  <c r="R11" i="1"/>
  <c r="N11" i="1"/>
  <c r="R14" i="1"/>
  <c r="N14" i="1"/>
  <c r="L8" i="1"/>
  <c r="J10" i="1"/>
  <c r="J14" i="1"/>
  <c r="M13" i="1"/>
  <c r="M14" i="1"/>
  <c r="M12" i="1"/>
  <c r="M10" i="1"/>
  <c r="M11" i="1"/>
  <c r="M9" i="1"/>
  <c r="M7" i="1"/>
  <c r="M8" i="1"/>
  <c r="R8" i="1" l="1"/>
  <c r="N8" i="1"/>
  <c r="S3" i="1"/>
  <c r="O3" i="1"/>
  <c r="J13" i="1"/>
  <c r="K10" i="1"/>
  <c r="K13" i="1"/>
  <c r="K7" i="1"/>
  <c r="N13" i="1" l="1"/>
  <c r="R13" i="1"/>
  <c r="N7" i="1"/>
  <c r="O6" i="1" s="1"/>
  <c r="R7" i="1"/>
  <c r="N10" i="1"/>
  <c r="R10" i="1"/>
  <c r="O12" i="1"/>
  <c r="S12" i="1" l="1"/>
  <c r="P3" i="1"/>
  <c r="O9" i="1"/>
  <c r="S9" i="1" l="1"/>
  <c r="T3" i="1"/>
  <c r="P6" i="1"/>
  <c r="S6" i="1" l="1"/>
  <c r="T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 Ratto</author>
  </authors>
  <commentList>
    <comment ref="E21" authorId="0" shapeId="0" xr:uid="{F76A11C3-D352-4C33-82F4-5E12F02DEA2C}">
      <text>
        <r>
          <rPr>
            <b/>
            <sz val="9"/>
            <color indexed="81"/>
            <rFont val="Tahoma"/>
            <family val="2"/>
          </rPr>
          <t>Mariano Ratto:</t>
        </r>
        <r>
          <rPr>
            <sz val="9"/>
            <color indexed="81"/>
            <rFont val="Tahoma"/>
            <family val="2"/>
          </rPr>
          <t xml:space="preserve">
Screened
Non carrier for Carbapenem resistance and ESBL PE only. Can be carrier of any other bacteria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Painter</author>
  </authors>
  <commentList>
    <comment ref="B1" authorId="0" shapeId="0" xr:uid="{A377AB56-D28D-4088-9244-49621E34F4D2}">
      <text>
        <r>
          <rPr>
            <b/>
            <sz val="9"/>
            <color indexed="81"/>
            <rFont val="Tahoma"/>
            <family val="2"/>
          </rPr>
          <t>Chris Painter:</t>
        </r>
        <r>
          <rPr>
            <sz val="9"/>
            <color indexed="81"/>
            <rFont val="Tahoma"/>
            <family val="2"/>
          </rPr>
          <t xml:space="preserve">
THB. All cost adjusted by inflation
</t>
        </r>
      </text>
    </comment>
  </commentList>
</comments>
</file>

<file path=xl/sharedStrings.xml><?xml version="1.0" encoding="utf-8"?>
<sst xmlns="http://schemas.openxmlformats.org/spreadsheetml/2006/main" count="147" uniqueCount="98">
  <si>
    <t>Arm</t>
  </si>
  <si>
    <t>Carrier Status</t>
  </si>
  <si>
    <t>Resistance bacteria type</t>
  </si>
  <si>
    <t>Outcome</t>
  </si>
  <si>
    <t>Screening</t>
  </si>
  <si>
    <t>Susceptibility test</t>
  </si>
  <si>
    <t>Diagnostic test</t>
  </si>
  <si>
    <t>Antibiotic Treatment</t>
  </si>
  <si>
    <t>Societal Cost per dose</t>
  </si>
  <si>
    <t>ICU day</t>
  </si>
  <si>
    <t>Total
[THB]</t>
  </si>
  <si>
    <t>Weighted  Status [THB]</t>
  </si>
  <si>
    <t>Weight by Arm [THB]</t>
  </si>
  <si>
    <t>Non Screening Arm</t>
  </si>
  <si>
    <t>No SSI</t>
  </si>
  <si>
    <t>S-SSI</t>
  </si>
  <si>
    <t>R-SSI</t>
  </si>
  <si>
    <t>Screening Arm</t>
  </si>
  <si>
    <t>Gram-negative resistance
non-carrier</t>
  </si>
  <si>
    <t>Gram-negative Resistant Carrier</t>
  </si>
  <si>
    <t>General Parameters</t>
  </si>
  <si>
    <t>SSI Risk</t>
  </si>
  <si>
    <t>Prevalence in pop</t>
  </si>
  <si>
    <t>Carbapenem-Resistant Treatment</t>
  </si>
  <si>
    <t>Tigecycline</t>
  </si>
  <si>
    <t>Non Screened</t>
  </si>
  <si>
    <t>Carbapenem-resistant</t>
  </si>
  <si>
    <t xml:space="preserve">No SSI  </t>
  </si>
  <si>
    <t>Carbapenem-R</t>
  </si>
  <si>
    <t>Length of Treatment</t>
  </si>
  <si>
    <t xml:space="preserve">SSI  </t>
  </si>
  <si>
    <t>Non Carrier</t>
  </si>
  <si>
    <t xml:space="preserve">Resistant SSI  </t>
  </si>
  <si>
    <t>S-SSI [days]</t>
  </si>
  <si>
    <t>R-SSI [days]</t>
  </si>
  <si>
    <t>Length of Stay [days]</t>
  </si>
  <si>
    <t>R- SSI</t>
  </si>
  <si>
    <t>Description</t>
  </si>
  <si>
    <t>Cost</t>
  </si>
  <si>
    <t>Notes</t>
  </si>
  <si>
    <t>Source</t>
  </si>
  <si>
    <t>Ceftazidime + Avibactam</t>
  </si>
  <si>
    <t xml:space="preserve"> 2 g ceftazidime and 0.5 g</t>
  </si>
  <si>
    <t>National Drug System:  https://ndi.fda.moph.go.th/drug_value/index/public</t>
  </si>
  <si>
    <t>Gram Strain</t>
  </si>
  <si>
    <t>Health Intervention and Technology Assessment: HITAP Ministry of Public Health: https://costingmenu.hitap.net/</t>
  </si>
  <si>
    <t>MIC (Minimum Inhibitory Concentration)</t>
  </si>
  <si>
    <t xml:space="preserve">Sensitivity Test </t>
  </si>
  <si>
    <t>Susceptibiliy test</t>
  </si>
  <si>
    <t xml:space="preserve">Gram stain +MIC (Minimum Inhibitory Concentration) + Sensitivity Test </t>
  </si>
  <si>
    <t>Routine aerobic culture and sensitivity</t>
  </si>
  <si>
    <t xml:space="preserve">Hemoculture and sensitivity (Manual) </t>
  </si>
  <si>
    <t xml:space="preserve">Stool Routine direct smear </t>
  </si>
  <si>
    <t>Screnning</t>
  </si>
  <si>
    <t xml:space="preserve">Routine aerobic culture and sensitivity + Hemoculture and sensitivity (Manual) + Stool Routine direct smear </t>
  </si>
  <si>
    <t>Ertapenem</t>
  </si>
  <si>
    <t xml:space="preserve">1g </t>
  </si>
  <si>
    <t xml:space="preserve">Cefoxitin </t>
  </si>
  <si>
    <t>2g</t>
  </si>
  <si>
    <t>Metronidazole</t>
  </si>
  <si>
    <t xml:space="preserve"> 500mg </t>
  </si>
  <si>
    <t>Starndard Prophy Cefazolin + Metronidazol</t>
  </si>
  <si>
    <t>2g of Cefazolin and 500mg of Matronidazol</t>
  </si>
  <si>
    <t xml:space="preserve">Tigecycline Sterile powder 50 mg 1 vial </t>
  </si>
  <si>
    <t>Inpatient Service</t>
  </si>
  <si>
    <t>General Nursing Services ICU</t>
  </si>
  <si>
    <t>General Medical Services (IPD)</t>
  </si>
  <si>
    <t>Sterilization/Disinfection</t>
  </si>
  <si>
    <t xml:space="preserve">Inpatient Service + General Nursing Services + General Medical Services (IPD) + Sterilization/Disinfection </t>
  </si>
  <si>
    <t>Ceftolozane sulfate + Tazobactam sodium</t>
  </si>
  <si>
    <t>1 g + 500 mg</t>
  </si>
  <si>
    <t>Cefazolin sodium</t>
  </si>
  <si>
    <t>1 g/vial</t>
  </si>
  <si>
    <t>Treatment SSI</t>
  </si>
  <si>
    <t>1g Cefazolin /8h</t>
  </si>
  <si>
    <t>Societal Cost for Access Category (Metronidazole, Cefazolin</t>
  </si>
  <si>
    <t>https://moru.shinyapps.io/amrcost/</t>
  </si>
  <si>
    <t>Societal Cost for Watch Category (Erapenem)</t>
  </si>
  <si>
    <t>Societal Cost for Reserve Category (Tigecycline, Ceftazidine and Avibactam)</t>
  </si>
  <si>
    <t>June 2024 Exhange Rate - 28/06/2024</t>
  </si>
  <si>
    <t>https://www.federalreserve.gov/releases/h10/hist/dat00_th.htm</t>
  </si>
  <si>
    <t>2018 to 2024 THB</t>
  </si>
  <si>
    <t>For National Drug System</t>
  </si>
  <si>
    <t>https://data.worldbank.org/indicator/FP.CPI.TOTL.ZG</t>
  </si>
  <si>
    <t>2009 to 2024 THB</t>
  </si>
  <si>
    <t>For Health Intervention and Technology Assessment: HITAP Ministry of Public Health</t>
  </si>
  <si>
    <t>Prophylaxis</t>
  </si>
  <si>
    <t>Screen delay*</t>
  </si>
  <si>
    <t>Colistin</t>
  </si>
  <si>
    <t>THB/ vial (150 mg).</t>
  </si>
  <si>
    <t>https://innovation.bb.go.th/item/03/0301/03010293</t>
  </si>
  <si>
    <t>Empiric treatment</t>
  </si>
  <si>
    <t>Ceftriaxone (1-2 g/day) + Metronidazole (400 mg/day)</t>
  </si>
  <si>
    <t>Prophy dose</t>
  </si>
  <si>
    <t>Total
[THB] NO SC</t>
  </si>
  <si>
    <t>3GCR</t>
  </si>
  <si>
    <t xml:space="preserve">3GCR Carrier </t>
  </si>
  <si>
    <t>CR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</si>
</sst>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%"/>
    <numFmt numFmtId="167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212121"/>
      <name val="Cambria"/>
      <family val="1"/>
    </font>
    <font>
      <sz val="10"/>
      <color rgb="FF33333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91D1D"/>
        <bgColor indexed="64"/>
      </patternFill>
    </fill>
    <fill>
      <patternFill patternType="solid">
        <fgColor rgb="FFF69492"/>
        <bgColor indexed="64"/>
      </patternFill>
    </fill>
    <fill>
      <patternFill patternType="solid">
        <fgColor rgb="FFFCDDDC"/>
        <bgColor indexed="64"/>
      </patternFill>
    </fill>
    <fill>
      <patternFill patternType="solid">
        <fgColor rgb="FFE9F7FD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14" borderId="21" xfId="0" applyFill="1" applyBorder="1"/>
    <xf numFmtId="0" fontId="0" fillId="14" borderId="0" xfId="0" applyFill="1"/>
    <xf numFmtId="0" fontId="0" fillId="0" borderId="1" xfId="0" applyBorder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3" fillId="0" borderId="0" xfId="2"/>
    <xf numFmtId="0" fontId="10" fillId="0" borderId="0" xfId="0" applyFont="1"/>
    <xf numFmtId="167" fontId="0" fillId="0" borderId="0" xfId="0" applyNumberFormat="1"/>
    <xf numFmtId="10" fontId="0" fillId="0" borderId="0" xfId="0" applyNumberFormat="1"/>
    <xf numFmtId="0" fontId="11" fillId="0" borderId="0" xfId="0" applyFont="1"/>
    <xf numFmtId="2" fontId="0" fillId="0" borderId="0" xfId="0" applyNumberFormat="1"/>
    <xf numFmtId="0" fontId="6" fillId="10" borderId="7" xfId="0" applyFont="1" applyFill="1" applyBorder="1" applyAlignment="1" applyProtection="1">
      <alignment horizontal="left"/>
      <protection locked="0"/>
    </xf>
    <xf numFmtId="0" fontId="0" fillId="10" borderId="7" xfId="0" applyFill="1" applyBorder="1" applyAlignment="1" applyProtection="1">
      <alignment horizontal="left"/>
      <protection locked="0"/>
    </xf>
    <xf numFmtId="0" fontId="0" fillId="10" borderId="11" xfId="0" applyFill="1" applyBorder="1" applyAlignment="1" applyProtection="1">
      <alignment horizontal="left"/>
      <protection locked="0"/>
    </xf>
    <xf numFmtId="166" fontId="0" fillId="7" borderId="0" xfId="3" applyNumberFormat="1" applyFont="1" applyFill="1" applyBorder="1" applyAlignment="1" applyProtection="1">
      <alignment horizontal="left"/>
      <protection locked="0"/>
    </xf>
    <xf numFmtId="166" fontId="0" fillId="7" borderId="40" xfId="3" applyNumberFormat="1" applyFont="1" applyFill="1" applyBorder="1" applyAlignment="1" applyProtection="1">
      <alignment horizontal="left"/>
      <protection locked="0"/>
    </xf>
    <xf numFmtId="166" fontId="0" fillId="7" borderId="7" xfId="3" applyNumberFormat="1" applyFont="1" applyFill="1" applyBorder="1" applyAlignment="1" applyProtection="1">
      <alignment horizontal="left"/>
      <protection locked="0"/>
    </xf>
    <xf numFmtId="166" fontId="0" fillId="7" borderId="11" xfId="3" applyNumberFormat="1" applyFont="1" applyFill="1" applyBorder="1" applyAlignment="1" applyProtection="1">
      <alignment horizontal="left"/>
      <protection locked="0"/>
    </xf>
    <xf numFmtId="165" fontId="0" fillId="13" borderId="7" xfId="0" applyNumberFormat="1" applyFill="1" applyBorder="1" applyProtection="1">
      <protection locked="0"/>
    </xf>
    <xf numFmtId="165" fontId="0" fillId="13" borderId="11" xfId="0" applyNumberFormat="1" applyFill="1" applyBorder="1" applyProtection="1">
      <protection locked="0"/>
    </xf>
    <xf numFmtId="0" fontId="0" fillId="15" borderId="0" xfId="0" applyFill="1"/>
    <xf numFmtId="0" fontId="0" fillId="16" borderId="42" xfId="0" applyFill="1" applyBorder="1"/>
    <xf numFmtId="0" fontId="0" fillId="16" borderId="0" xfId="0" applyFill="1"/>
    <xf numFmtId="0" fontId="0" fillId="16" borderId="1" xfId="0" applyFill="1" applyBorder="1"/>
    <xf numFmtId="0" fontId="0" fillId="16" borderId="36" xfId="0" applyFill="1" applyBorder="1"/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0" fillId="8" borderId="0" xfId="0" applyFill="1"/>
    <xf numFmtId="164" fontId="0" fillId="9" borderId="21" xfId="1" applyNumberFormat="1" applyFont="1" applyFill="1" applyBorder="1" applyProtection="1"/>
    <xf numFmtId="164" fontId="0" fillId="9" borderId="0" xfId="1" applyNumberFormat="1" applyFont="1" applyFill="1" applyBorder="1" applyProtection="1"/>
    <xf numFmtId="164" fontId="0" fillId="9" borderId="0" xfId="1" applyNumberFormat="1" applyFont="1" applyFill="1" applyBorder="1" applyAlignment="1" applyProtection="1">
      <alignment horizontal="center"/>
    </xf>
    <xf numFmtId="164" fontId="6" fillId="9" borderId="0" xfId="1" applyNumberFormat="1" applyFont="1" applyFill="1" applyProtection="1"/>
    <xf numFmtId="164" fontId="0" fillId="3" borderId="21" xfId="0" applyNumberFormat="1" applyFill="1" applyBorder="1"/>
    <xf numFmtId="0" fontId="0" fillId="8" borderId="33" xfId="0" applyFill="1" applyBorder="1"/>
    <xf numFmtId="164" fontId="0" fillId="9" borderId="34" xfId="1" applyNumberFormat="1" applyFont="1" applyFill="1" applyBorder="1" applyProtection="1"/>
    <xf numFmtId="164" fontId="0" fillId="9" borderId="33" xfId="1" applyNumberFormat="1" applyFont="1" applyFill="1" applyBorder="1" applyProtection="1"/>
    <xf numFmtId="164" fontId="0" fillId="9" borderId="33" xfId="1" applyNumberFormat="1" applyFont="1" applyFill="1" applyBorder="1" applyAlignment="1" applyProtection="1">
      <alignment horizontal="center"/>
    </xf>
    <xf numFmtId="164" fontId="6" fillId="9" borderId="33" xfId="1" applyNumberFormat="1" applyFont="1" applyFill="1" applyBorder="1" applyProtection="1"/>
    <xf numFmtId="164" fontId="0" fillId="3" borderId="35" xfId="0" applyNumberFormat="1" applyFill="1" applyBorder="1"/>
    <xf numFmtId="0" fontId="0" fillId="8" borderId="3" xfId="0" applyFill="1" applyBorder="1"/>
    <xf numFmtId="164" fontId="0" fillId="9" borderId="22" xfId="1" applyNumberFormat="1" applyFont="1" applyFill="1" applyBorder="1" applyProtection="1"/>
    <xf numFmtId="164" fontId="0" fillId="9" borderId="3" xfId="1" applyNumberFormat="1" applyFont="1" applyFill="1" applyBorder="1" applyProtection="1"/>
    <xf numFmtId="164" fontId="0" fillId="9" borderId="3" xfId="1" applyNumberFormat="1" applyFont="1" applyFill="1" applyBorder="1" applyAlignment="1" applyProtection="1">
      <alignment horizontal="center"/>
    </xf>
    <xf numFmtId="164" fontId="6" fillId="9" borderId="3" xfId="1" applyNumberFormat="1" applyFont="1" applyFill="1" applyBorder="1" applyProtection="1"/>
    <xf numFmtId="164" fontId="0" fillId="3" borderId="22" xfId="0" applyNumberFormat="1" applyFill="1" applyBorder="1"/>
    <xf numFmtId="0" fontId="0" fillId="8" borderId="5" xfId="0" applyFill="1" applyBorder="1"/>
    <xf numFmtId="164" fontId="0" fillId="9" borderId="23" xfId="1" applyNumberFormat="1" applyFont="1" applyFill="1" applyBorder="1" applyProtection="1"/>
    <xf numFmtId="164" fontId="0" fillId="9" borderId="5" xfId="1" applyNumberFormat="1" applyFont="1" applyFill="1" applyBorder="1" applyProtection="1"/>
    <xf numFmtId="164" fontId="0" fillId="9" borderId="5" xfId="1" applyNumberFormat="1" applyFont="1" applyFill="1" applyBorder="1" applyAlignment="1" applyProtection="1">
      <alignment horizontal="center"/>
    </xf>
    <xf numFmtId="164" fontId="6" fillId="9" borderId="5" xfId="1" applyNumberFormat="1" applyFont="1" applyFill="1" applyBorder="1" applyProtection="1"/>
    <xf numFmtId="164" fontId="0" fillId="3" borderId="23" xfId="0" applyNumberFormat="1" applyFill="1" applyBorder="1"/>
    <xf numFmtId="164" fontId="6" fillId="9" borderId="1" xfId="1" applyNumberFormat="1" applyFont="1" applyFill="1" applyBorder="1" applyProtection="1"/>
    <xf numFmtId="164" fontId="0" fillId="3" borderId="24" xfId="0" applyNumberFormat="1" applyFill="1" applyBorder="1"/>
    <xf numFmtId="164" fontId="0" fillId="9" borderId="25" xfId="1" applyNumberFormat="1" applyFont="1" applyFill="1" applyBorder="1" applyProtection="1"/>
    <xf numFmtId="164" fontId="5" fillId="9" borderId="4" xfId="1" applyNumberFormat="1" applyFont="1" applyFill="1" applyBorder="1" applyProtection="1"/>
    <xf numFmtId="164" fontId="5" fillId="9" borderId="4" xfId="1" applyNumberFormat="1" applyFont="1" applyFill="1" applyBorder="1" applyAlignment="1" applyProtection="1">
      <alignment horizontal="center"/>
    </xf>
    <xf numFmtId="164" fontId="0" fillId="9" borderId="4" xfId="1" applyNumberFormat="1" applyFont="1" applyFill="1" applyBorder="1" applyProtection="1"/>
    <xf numFmtId="164" fontId="0" fillId="3" borderId="25" xfId="0" applyNumberFormat="1" applyFill="1" applyBorder="1"/>
    <xf numFmtId="164" fontId="5" fillId="9" borderId="33" xfId="1" applyNumberFormat="1" applyFont="1" applyFill="1" applyBorder="1" applyProtection="1"/>
    <xf numFmtId="164" fontId="5" fillId="9" borderId="33" xfId="1" applyNumberFormat="1" applyFont="1" applyFill="1" applyBorder="1" applyAlignment="1" applyProtection="1">
      <alignment horizontal="center"/>
    </xf>
    <xf numFmtId="0" fontId="0" fillId="8" borderId="1" xfId="0" applyFill="1" applyBorder="1"/>
    <xf numFmtId="164" fontId="0" fillId="9" borderId="24" xfId="1" applyNumberFormat="1" applyFont="1" applyFill="1" applyBorder="1" applyProtection="1"/>
    <xf numFmtId="164" fontId="5" fillId="9" borderId="1" xfId="1" applyNumberFormat="1" applyFont="1" applyFill="1" applyBorder="1" applyProtection="1"/>
    <xf numFmtId="164" fontId="5" fillId="9" borderId="1" xfId="1" applyNumberFormat="1" applyFont="1" applyFill="1" applyBorder="1" applyAlignment="1" applyProtection="1">
      <alignment horizontal="center"/>
    </xf>
    <xf numFmtId="164" fontId="0" fillId="9" borderId="1" xfId="1" applyNumberFormat="1" applyFont="1" applyFill="1" applyBorder="1" applyProtection="1"/>
    <xf numFmtId="164" fontId="5" fillId="9" borderId="0" xfId="1" applyNumberFormat="1" applyFont="1" applyFill="1" applyBorder="1" applyProtection="1"/>
    <xf numFmtId="164" fontId="5" fillId="9" borderId="0" xfId="1" applyNumberFormat="1" applyFont="1" applyFill="1" applyBorder="1" applyAlignment="1" applyProtection="1">
      <alignment horizontal="center"/>
    </xf>
    <xf numFmtId="0" fontId="0" fillId="8" borderId="10" xfId="0" applyFill="1" applyBorder="1"/>
    <xf numFmtId="164" fontId="0" fillId="9" borderId="26" xfId="1" applyNumberFormat="1" applyFont="1" applyFill="1" applyBorder="1" applyProtection="1"/>
    <xf numFmtId="164" fontId="5" fillId="9" borderId="10" xfId="1" applyNumberFormat="1" applyFont="1" applyFill="1" applyBorder="1" applyProtection="1"/>
    <xf numFmtId="164" fontId="5" fillId="9" borderId="10" xfId="1" applyNumberFormat="1" applyFont="1" applyFill="1" applyBorder="1" applyAlignment="1" applyProtection="1">
      <alignment horizontal="center"/>
    </xf>
    <xf numFmtId="164" fontId="0" fillId="9" borderId="10" xfId="1" applyNumberFormat="1" applyFont="1" applyFill="1" applyBorder="1" applyProtection="1"/>
    <xf numFmtId="164" fontId="6" fillId="9" borderId="10" xfId="1" applyNumberFormat="1" applyFont="1" applyFill="1" applyBorder="1" applyProtection="1"/>
    <xf numFmtId="164" fontId="0" fillId="3" borderId="26" xfId="0" applyNumberFormat="1" applyFill="1" applyBorder="1"/>
    <xf numFmtId="0" fontId="0" fillId="13" borderId="6" xfId="0" applyFill="1" applyBorder="1"/>
    <xf numFmtId="164" fontId="0" fillId="0" borderId="0" xfId="0" applyNumberFormat="1"/>
    <xf numFmtId="0" fontId="0" fillId="7" borderId="6" xfId="0" applyFill="1" applyBorder="1" applyAlignment="1">
      <alignment horizontal="right"/>
    </xf>
    <xf numFmtId="0" fontId="0" fillId="7" borderId="21" xfId="0" applyFill="1" applyBorder="1" applyAlignment="1">
      <alignment horizontal="right"/>
    </xf>
    <xf numFmtId="0" fontId="0" fillId="13" borderId="6" xfId="0" applyFill="1" applyBorder="1" applyAlignment="1">
      <alignment horizontal="left"/>
    </xf>
    <xf numFmtId="164" fontId="0" fillId="16" borderId="0" xfId="0" applyNumberFormat="1" applyFill="1"/>
    <xf numFmtId="0" fontId="0" fillId="13" borderId="9" xfId="0" applyFill="1" applyBorder="1"/>
    <xf numFmtId="0" fontId="0" fillId="10" borderId="6" xfId="0" applyFill="1" applyBorder="1"/>
    <xf numFmtId="165" fontId="0" fillId="16" borderId="0" xfId="3" applyNumberFormat="1" applyFont="1" applyFill="1" applyProtection="1"/>
    <xf numFmtId="0" fontId="0" fillId="7" borderId="9" xfId="0" applyFill="1" applyBorder="1" applyAlignment="1">
      <alignment horizontal="right"/>
    </xf>
    <xf numFmtId="0" fontId="0" fillId="7" borderId="26" xfId="0" applyFill="1" applyBorder="1" applyAlignment="1">
      <alignment horizontal="right"/>
    </xf>
    <xf numFmtId="0" fontId="0" fillId="10" borderId="9" xfId="0" applyFill="1" applyBorder="1"/>
    <xf numFmtId="0" fontId="0" fillId="10" borderId="6" xfId="0" applyFill="1" applyBorder="1" applyAlignment="1">
      <alignment horizontal="left" wrapText="1"/>
    </xf>
    <xf numFmtId="0" fontId="0" fillId="10" borderId="38" xfId="0" applyFill="1" applyBorder="1" applyAlignment="1">
      <alignment horizontal="left" wrapText="1"/>
    </xf>
    <xf numFmtId="0" fontId="0" fillId="10" borderId="7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0" fillId="8" borderId="2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4" borderId="25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9" borderId="33" xfId="1" applyNumberFormat="1" applyFont="1" applyFill="1" applyBorder="1" applyAlignment="1" applyProtection="1">
      <alignment horizontal="center"/>
    </xf>
    <xf numFmtId="164" fontId="0" fillId="9" borderId="4" xfId="1" applyNumberFormat="1" applyFont="1" applyFill="1" applyBorder="1" applyAlignment="1" applyProtection="1">
      <alignment horizontal="center"/>
    </xf>
    <xf numFmtId="164" fontId="0" fillId="9" borderId="37" xfId="1" applyNumberFormat="1" applyFont="1" applyFill="1" applyBorder="1" applyAlignment="1" applyProtection="1">
      <alignment horizontal="center"/>
    </xf>
    <xf numFmtId="164" fontId="0" fillId="9" borderId="5" xfId="1" applyNumberFormat="1" applyFont="1" applyFill="1" applyBorder="1" applyAlignment="1" applyProtection="1">
      <alignment horizontal="center"/>
    </xf>
    <xf numFmtId="0" fontId="0" fillId="6" borderId="32" xfId="0" applyFill="1" applyBorder="1" applyAlignment="1">
      <alignment horizontal="center" wrapText="1"/>
    </xf>
    <xf numFmtId="0" fontId="0" fillId="6" borderId="19" xfId="0" applyFill="1" applyBorder="1" applyAlignment="1">
      <alignment horizontal="center" wrapText="1"/>
    </xf>
    <xf numFmtId="0" fontId="0" fillId="6" borderId="32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164" fontId="4" fillId="4" borderId="28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164" fontId="4" fillId="4" borderId="30" xfId="0" applyNumberFormat="1" applyFont="1" applyFill="1" applyBorder="1" applyAlignment="1">
      <alignment horizontal="center" vertical="center"/>
    </xf>
    <xf numFmtId="164" fontId="4" fillId="4" borderId="31" xfId="0" applyNumberFormat="1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164" fontId="5" fillId="9" borderId="10" xfId="1" applyNumberFormat="1" applyFont="1" applyFill="1" applyBorder="1" applyAlignment="1" applyProtection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64" fontId="5" fillId="9" borderId="33" xfId="1" applyNumberFormat="1" applyFont="1" applyFill="1" applyBorder="1" applyAlignment="1" applyProtection="1">
      <alignment horizontal="center"/>
    </xf>
    <xf numFmtId="164" fontId="5" fillId="9" borderId="4" xfId="1" applyNumberFormat="1" applyFont="1" applyFill="1" applyBorder="1" applyAlignment="1" applyProtection="1">
      <alignment horizontal="center"/>
    </xf>
    <xf numFmtId="164" fontId="5" fillId="9" borderId="41" xfId="1" applyNumberFormat="1" applyFont="1" applyFill="1" applyBorder="1" applyAlignment="1" applyProtection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0FAEC"/>
      <color rgb="FFE9F7FD"/>
      <color rgb="FFFCDDDC"/>
      <color rgb="FFF69492"/>
      <color rgb="FFB9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E6A3-F028-4576-A37B-35E80AD5F889}">
  <sheetPr codeName="Sheet1"/>
  <dimension ref="A1:Y39"/>
  <sheetViews>
    <sheetView showGridLines="0" tabSelected="1" zoomScale="85" zoomScaleNormal="85" workbookViewId="0">
      <selection activeCell="F20" sqref="F19:F20"/>
    </sheetView>
  </sheetViews>
  <sheetFormatPr defaultRowHeight="15" x14ac:dyDescent="0.25"/>
  <cols>
    <col min="1" max="1" width="0.5703125" customWidth="1"/>
    <col min="2" max="2" width="20.28515625" style="5" customWidth="1"/>
    <col min="3" max="3" width="14.7109375" style="5" customWidth="1"/>
    <col min="4" max="4" width="16.28515625" style="5" customWidth="1"/>
    <col min="5" max="5" width="12.28515625" style="5" customWidth="1"/>
    <col min="6" max="6" width="9.140625" style="5" customWidth="1"/>
    <col min="7" max="7" width="16.5703125" style="5" customWidth="1"/>
    <col min="8" max="8" width="11.28515625" style="5" customWidth="1"/>
    <col min="9" max="9" width="7.7109375" style="5" customWidth="1"/>
    <col min="10" max="10" width="9.7109375" style="5" customWidth="1"/>
    <col min="11" max="11" width="14.85546875" style="5" customWidth="1"/>
    <col min="12" max="12" width="12.28515625" style="5" customWidth="1"/>
    <col min="13" max="13" width="10.140625" style="5" customWidth="1"/>
    <col min="14" max="14" width="9.5703125" style="5" bestFit="1" customWidth="1"/>
    <col min="15" max="15" width="11.7109375" style="5" bestFit="1" customWidth="1"/>
    <col min="16" max="16" width="11.7109375" style="5" customWidth="1"/>
    <col min="17" max="17" width="0.5703125" style="5" customWidth="1"/>
    <col min="18" max="18" width="14.42578125" style="5" customWidth="1"/>
    <col min="19" max="20" width="12.28515625" style="5" bestFit="1" customWidth="1"/>
    <col min="21" max="21" width="0.5703125" style="5" customWidth="1"/>
    <col min="22" max="25" width="8.85546875" style="5"/>
  </cols>
  <sheetData>
    <row r="1" spans="1:21" ht="3" customHeight="1" thickBot="1" x14ac:dyDescent="0.3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4"/>
      <c r="U1" s="26"/>
    </row>
    <row r="2" spans="1:21" ht="43.15" customHeight="1" x14ac:dyDescent="0.25">
      <c r="B2" s="30" t="s">
        <v>0</v>
      </c>
      <c r="C2" s="31" t="s">
        <v>1</v>
      </c>
      <c r="D2" s="32" t="s">
        <v>2</v>
      </c>
      <c r="E2" s="32" t="s">
        <v>3</v>
      </c>
      <c r="F2" s="33" t="s">
        <v>4</v>
      </c>
      <c r="G2" s="34" t="s">
        <v>5</v>
      </c>
      <c r="H2" s="34" t="s">
        <v>86</v>
      </c>
      <c r="I2" s="34"/>
      <c r="J2" s="34" t="s">
        <v>6</v>
      </c>
      <c r="K2" s="34" t="s">
        <v>7</v>
      </c>
      <c r="L2" s="34" t="s">
        <v>8</v>
      </c>
      <c r="M2" s="34" t="s">
        <v>9</v>
      </c>
      <c r="N2" s="33" t="s">
        <v>10</v>
      </c>
      <c r="O2" s="35" t="s">
        <v>11</v>
      </c>
      <c r="P2" s="36" t="s">
        <v>12</v>
      </c>
      <c r="Q2"/>
      <c r="R2" s="33" t="s">
        <v>94</v>
      </c>
      <c r="S2" s="35" t="s">
        <v>11</v>
      </c>
      <c r="T2" s="36" t="s">
        <v>12</v>
      </c>
      <c r="U2" s="26"/>
    </row>
    <row r="3" spans="1:21" ht="18" customHeight="1" x14ac:dyDescent="0.25">
      <c r="B3" s="103" t="s">
        <v>13</v>
      </c>
      <c r="C3" s="37"/>
      <c r="D3" s="38"/>
      <c r="E3" s="38" t="s">
        <v>14</v>
      </c>
      <c r="F3" s="39">
        <v>0</v>
      </c>
      <c r="G3" s="40">
        <v>0</v>
      </c>
      <c r="H3" s="126">
        <f>Prices!$B$14*C20</f>
        <v>58.19</v>
      </c>
      <c r="I3" s="126"/>
      <c r="J3" s="41"/>
      <c r="K3" s="40">
        <v>0</v>
      </c>
      <c r="L3" s="42">
        <f>Prices!B24*2*(C20)</f>
        <v>778.61388713907809</v>
      </c>
      <c r="M3" s="40">
        <f>(C25)*Prices!$B$20</f>
        <v>22127</v>
      </c>
      <c r="N3" s="43">
        <f>SUM(F3:M3)</f>
        <v>22963.803887139078</v>
      </c>
      <c r="O3" s="116">
        <f>N3*F18+N4*F19+N5*F20</f>
        <v>23912.658374904902</v>
      </c>
      <c r="P3" s="133">
        <f>O3</f>
        <v>23912.658374904902</v>
      </c>
      <c r="Q3"/>
      <c r="R3" s="43">
        <f>SUM(F3:M3)-L3</f>
        <v>22185.19</v>
      </c>
      <c r="S3" s="116">
        <f>R3*F18+R4*F19+R5*F20</f>
        <v>23035.002850723264</v>
      </c>
      <c r="T3" s="133">
        <f>S3</f>
        <v>23035.002850723264</v>
      </c>
      <c r="U3" s="26"/>
    </row>
    <row r="4" spans="1:21" ht="18" customHeight="1" x14ac:dyDescent="0.25">
      <c r="B4" s="103"/>
      <c r="C4" s="38"/>
      <c r="D4" s="38"/>
      <c r="E4" s="44" t="s">
        <v>15</v>
      </c>
      <c r="F4" s="45">
        <v>0</v>
      </c>
      <c r="G4" s="46">
        <v>0</v>
      </c>
      <c r="H4" s="125">
        <f>Prices!$B$14*C20</f>
        <v>58.19</v>
      </c>
      <c r="I4" s="125"/>
      <c r="J4" s="47">
        <f>Prices!B10+Prices!B6</f>
        <v>1357.2912421380815</v>
      </c>
      <c r="K4" s="46">
        <f>Prices!B23*('Cost Model'!C21+C23)</f>
        <v>600</v>
      </c>
      <c r="L4" s="48">
        <f>2*Prices!B24*(C20+C21)</f>
        <v>6228.9110971126247</v>
      </c>
      <c r="M4" s="46">
        <f>(C26)*Prices!$B$20</f>
        <v>63220</v>
      </c>
      <c r="N4" s="49">
        <f t="shared" ref="N4:N14" si="0">SUM(F4:M4)</f>
        <v>71464.392339250713</v>
      </c>
      <c r="O4" s="117"/>
      <c r="P4" s="134"/>
      <c r="Q4"/>
      <c r="R4" s="49">
        <f t="shared" ref="R4:R14" si="1">SUM(F4:M4)-L4</f>
        <v>65235.481242138092</v>
      </c>
      <c r="S4" s="117"/>
      <c r="T4" s="134"/>
      <c r="U4" s="26"/>
    </row>
    <row r="5" spans="1:21" ht="18.600000000000001" customHeight="1" thickBot="1" x14ac:dyDescent="0.3">
      <c r="B5" s="104"/>
      <c r="C5" s="50"/>
      <c r="D5" s="50"/>
      <c r="E5" s="50" t="s">
        <v>16</v>
      </c>
      <c r="F5" s="51">
        <v>0</v>
      </c>
      <c r="G5" s="52">
        <v>0</v>
      </c>
      <c r="H5" s="127">
        <f>Prices!$B$14*C20</f>
        <v>58.19</v>
      </c>
      <c r="I5" s="127"/>
      <c r="J5" s="53">
        <f>J4</f>
        <v>1357.2912421380815</v>
      </c>
      <c r="K5" s="52">
        <f>K14*L17/(L17+L18)+K11*L18/(L17+L18)+C20*Prices!B23+C23*Prices!B23</f>
        <v>21284.193333333333</v>
      </c>
      <c r="L5" s="54">
        <f>(IF(C17="Tigecycline",Prices!B26*(C20+C22+C23),Prices!B26*2*(C20+C22+C23)))*L18/(L17+L18)+(Prices!B25*(C20+C22+C23))*L17/(L17+L18)</f>
        <v>11913.280122844062</v>
      </c>
      <c r="M5" s="52">
        <f>(C27+C23)*Prices!$B$20</f>
        <v>104313</v>
      </c>
      <c r="N5" s="55">
        <f t="shared" si="0"/>
        <v>138925.95469831547</v>
      </c>
      <c r="O5" s="118"/>
      <c r="P5" s="135"/>
      <c r="Q5"/>
      <c r="R5" s="55">
        <f t="shared" si="1"/>
        <v>127012.67457547141</v>
      </c>
      <c r="S5" s="118"/>
      <c r="T5" s="135"/>
      <c r="U5" s="26"/>
    </row>
    <row r="6" spans="1:21" ht="18.600000000000001" customHeight="1" thickTop="1" x14ac:dyDescent="0.25">
      <c r="B6" s="108" t="s">
        <v>17</v>
      </c>
      <c r="C6" s="105" t="s">
        <v>18</v>
      </c>
      <c r="D6" s="56"/>
      <c r="E6" s="56" t="s">
        <v>14</v>
      </c>
      <c r="F6" s="57">
        <f>Prices!B10</f>
        <v>776.13062741044996</v>
      </c>
      <c r="G6" s="58">
        <v>0</v>
      </c>
      <c r="H6" s="128">
        <f>Prices!$B$14*C20</f>
        <v>58.19</v>
      </c>
      <c r="I6" s="128"/>
      <c r="J6" s="59"/>
      <c r="K6" s="58">
        <v>0</v>
      </c>
      <c r="L6" s="60">
        <f>Prices!B24*2*C20</f>
        <v>778.61388713907809</v>
      </c>
      <c r="M6" s="58">
        <f>C25*Prices!$B$20</f>
        <v>22127</v>
      </c>
      <c r="N6" s="61">
        <f t="shared" si="0"/>
        <v>23739.934514549528</v>
      </c>
      <c r="O6" s="119">
        <f>N6*F22+N7*F23+N8*F24</f>
        <v>24223.140399070646</v>
      </c>
      <c r="P6" s="136">
        <f>O6*L19+O9*L18+L17*O12</f>
        <v>25715.491101867578</v>
      </c>
      <c r="Q6"/>
      <c r="R6" s="61">
        <f t="shared" si="1"/>
        <v>22961.320627410449</v>
      </c>
      <c r="S6" s="119">
        <f>R6*F22+R7*F23+R8*F24</f>
        <v>23390.023539831829</v>
      </c>
      <c r="T6" s="136">
        <f>S6*L19+S9*L18+L17*S12</f>
        <v>24919.076053140107</v>
      </c>
      <c r="U6" s="26"/>
    </row>
    <row r="7" spans="1:21" ht="18" customHeight="1" x14ac:dyDescent="0.25">
      <c r="B7" s="108"/>
      <c r="C7" s="106"/>
      <c r="D7" s="38"/>
      <c r="E7" s="44" t="s">
        <v>15</v>
      </c>
      <c r="F7" s="45">
        <f>Prices!B10</f>
        <v>776.13062741044996</v>
      </c>
      <c r="G7" s="46">
        <v>0</v>
      </c>
      <c r="H7" s="125">
        <f>Prices!$B$14*C20</f>
        <v>58.19</v>
      </c>
      <c r="I7" s="125"/>
      <c r="J7" s="47">
        <f>J4</f>
        <v>1357.2912421380815</v>
      </c>
      <c r="K7" s="46">
        <f>Prices!B23*'Cost Model'!C21</f>
        <v>420</v>
      </c>
      <c r="L7" s="48">
        <f>2*Prices!B24*(C20+C21)</f>
        <v>6228.9110971126247</v>
      </c>
      <c r="M7" s="46">
        <f>C26*Prices!$B$20</f>
        <v>63220</v>
      </c>
      <c r="N7" s="49">
        <f t="shared" si="0"/>
        <v>72060.522966661156</v>
      </c>
      <c r="O7" s="117"/>
      <c r="P7" s="133"/>
      <c r="Q7"/>
      <c r="R7" s="49">
        <f t="shared" si="1"/>
        <v>65831.611869548535</v>
      </c>
      <c r="S7" s="117"/>
      <c r="T7" s="133"/>
      <c r="U7" s="26"/>
    </row>
    <row r="8" spans="1:21" ht="18" customHeight="1" x14ac:dyDescent="0.25">
      <c r="A8" s="25"/>
      <c r="B8" s="108"/>
      <c r="C8" s="107"/>
      <c r="D8" s="38"/>
      <c r="E8" s="44" t="s">
        <v>16</v>
      </c>
      <c r="F8" s="45">
        <f>Prices!B10</f>
        <v>776.13062741044996</v>
      </c>
      <c r="G8" s="46">
        <v>0</v>
      </c>
      <c r="H8" s="125">
        <f>Prices!$B$14*C20</f>
        <v>58.19</v>
      </c>
      <c r="I8" s="125"/>
      <c r="J8" s="47">
        <f>J5</f>
        <v>1357.2912421380815</v>
      </c>
      <c r="K8" s="46">
        <f>L17/(L17+L18)*K14+K11*L18/(L17+L18)</f>
        <v>21044.193333333333</v>
      </c>
      <c r="L8" s="62">
        <f>L11*L18/(L17+L18)+L14*L17/(L17+L18)</f>
        <v>9927.7334357033833</v>
      </c>
      <c r="M8" s="46">
        <f>C27*Prices!$B$20</f>
        <v>94830</v>
      </c>
      <c r="N8" s="63">
        <f t="shared" si="0"/>
        <v>127993.53863858525</v>
      </c>
      <c r="O8" s="120"/>
      <c r="P8" s="133"/>
      <c r="Q8"/>
      <c r="R8" s="63">
        <f t="shared" si="1"/>
        <v>118065.80520288186</v>
      </c>
      <c r="S8" s="120"/>
      <c r="T8" s="133"/>
      <c r="U8" s="26"/>
    </row>
    <row r="9" spans="1:21" ht="18" customHeight="1" x14ac:dyDescent="0.25">
      <c r="B9" s="108"/>
      <c r="C9" s="106" t="s">
        <v>19</v>
      </c>
      <c r="D9" s="113" t="s">
        <v>97</v>
      </c>
      <c r="E9" s="37" t="s">
        <v>14</v>
      </c>
      <c r="F9" s="64">
        <f>Prices!B10</f>
        <v>776.13062741044996</v>
      </c>
      <c r="G9" s="65">
        <f>Prices!B6</f>
        <v>581.16061472763158</v>
      </c>
      <c r="H9" s="145">
        <f>Prices!$B$15*2+Prices!B30*2</f>
        <v>4053.04</v>
      </c>
      <c r="I9" s="145"/>
      <c r="J9" s="66"/>
      <c r="K9" s="67">
        <v>0</v>
      </c>
      <c r="L9" s="42">
        <f>IF(C17="Tigecycline",Prices!B26*(C20),Prices!B26*2*(C20))</f>
        <v>1402.8053958267735</v>
      </c>
      <c r="M9" s="67">
        <f>C25*Prices!$B$20</f>
        <v>22127</v>
      </c>
      <c r="N9" s="68">
        <f t="shared" si="0"/>
        <v>28940.136637964853</v>
      </c>
      <c r="O9" s="121">
        <f>N9*H18+N10*H19+N11*H20</f>
        <v>30350.355283188248</v>
      </c>
      <c r="P9" s="133"/>
      <c r="Q9"/>
      <c r="R9" s="68">
        <f t="shared" si="1"/>
        <v>27537.33124213808</v>
      </c>
      <c r="S9" s="121">
        <f>R9*H18+R10*H19+R11*H20</f>
        <v>28775.211262012286</v>
      </c>
      <c r="T9" s="133"/>
      <c r="U9" s="26"/>
    </row>
    <row r="10" spans="1:21" ht="18" customHeight="1" x14ac:dyDescent="0.25">
      <c r="B10" s="108"/>
      <c r="C10" s="106"/>
      <c r="D10" s="113"/>
      <c r="E10" s="44" t="s">
        <v>15</v>
      </c>
      <c r="F10" s="45">
        <f>Prices!B10</f>
        <v>776.13062741044996</v>
      </c>
      <c r="G10" s="69">
        <f>Prices!B6</f>
        <v>581.16061472763158</v>
      </c>
      <c r="H10" s="144">
        <f>Prices!$B$15*2+Prices!B30*2</f>
        <v>4053.04</v>
      </c>
      <c r="I10" s="144"/>
      <c r="J10" s="70">
        <f>J7</f>
        <v>1357.2912421380815</v>
      </c>
      <c r="K10" s="46">
        <f>Prices!B23*'Cost Model'!C21</f>
        <v>420</v>
      </c>
      <c r="L10" s="48">
        <f>IF(C17="Tigecycline",Prices!B26*(C20),Prices!B26*2*(C20))+Prices!B24*2*C21</f>
        <v>6853.1026058003208</v>
      </c>
      <c r="M10" s="46">
        <f>C26*Prices!$B$20</f>
        <v>63220</v>
      </c>
      <c r="N10" s="49">
        <f t="shared" si="0"/>
        <v>77260.725090076477</v>
      </c>
      <c r="O10" s="117"/>
      <c r="P10" s="133"/>
      <c r="Q10"/>
      <c r="R10" s="49">
        <f t="shared" si="1"/>
        <v>70407.622484276159</v>
      </c>
      <c r="S10" s="117"/>
      <c r="T10" s="133"/>
      <c r="U10" s="26"/>
    </row>
    <row r="11" spans="1:21" ht="18" customHeight="1" x14ac:dyDescent="0.25">
      <c r="B11" s="108"/>
      <c r="C11" s="106"/>
      <c r="D11" s="114"/>
      <c r="E11" s="71" t="s">
        <v>16</v>
      </c>
      <c r="F11" s="72">
        <f>Prices!B10</f>
        <v>776.13062741044996</v>
      </c>
      <c r="G11" s="73">
        <f>Prices!B6</f>
        <v>581.16061472763158</v>
      </c>
      <c r="H11" s="146">
        <f>Prices!$B$15*2+Prices!B30*2</f>
        <v>4053.04</v>
      </c>
      <c r="I11" s="146"/>
      <c r="J11" s="74">
        <f>J8</f>
        <v>1357.2912421380815</v>
      </c>
      <c r="K11" s="75">
        <f>(Prices!B15*2+Prices!B30*5)+(Prices!B30*4+Prices!B15*2)*('Cost Model'!C22-1)</f>
        <v>60802.559999999998</v>
      </c>
      <c r="L11" s="62">
        <f>IF(C17="Tigecycline",Prices!B26*(C20+C22),Prices!B26*2*(C20+C22))</f>
        <v>21042.080937401603</v>
      </c>
      <c r="M11" s="75">
        <f>C27*Prices!$B$20</f>
        <v>94830</v>
      </c>
      <c r="N11" s="63">
        <f t="shared" si="0"/>
        <v>183442.26342167775</v>
      </c>
      <c r="O11" s="120"/>
      <c r="P11" s="133"/>
      <c r="Q11"/>
      <c r="R11" s="63">
        <f t="shared" si="1"/>
        <v>162400.18248427616</v>
      </c>
      <c r="S11" s="120"/>
      <c r="T11" s="133"/>
      <c r="U11" s="26"/>
    </row>
    <row r="12" spans="1:21" ht="18" customHeight="1" x14ac:dyDescent="0.25">
      <c r="B12" s="108"/>
      <c r="C12" s="106"/>
      <c r="D12" s="113" t="s">
        <v>96</v>
      </c>
      <c r="E12" s="38" t="s">
        <v>14</v>
      </c>
      <c r="F12" s="39">
        <f>Prices!B10</f>
        <v>776.13062741044996</v>
      </c>
      <c r="G12" s="76">
        <f>Prices!B6</f>
        <v>581.16061472763158</v>
      </c>
      <c r="H12" s="145">
        <f>Prices!$B$11*C20</f>
        <v>935.18</v>
      </c>
      <c r="I12" s="145"/>
      <c r="J12" s="77"/>
      <c r="K12" s="40">
        <v>0</v>
      </c>
      <c r="L12" s="42">
        <f>Prices!B25*C20</f>
        <v>513.65759569091597</v>
      </c>
      <c r="M12" s="40">
        <f>C25*Prices!$B$20</f>
        <v>22127</v>
      </c>
      <c r="N12" s="43">
        <f t="shared" si="0"/>
        <v>24933.128837828997</v>
      </c>
      <c r="O12" s="116">
        <f>N12*H22+N13*H23+N14*H24</f>
        <v>25982.398827840982</v>
      </c>
      <c r="P12" s="133"/>
      <c r="Q12"/>
      <c r="R12" s="43">
        <f t="shared" si="1"/>
        <v>24419.471242138083</v>
      </c>
      <c r="S12" s="116">
        <f>R12*H22+R13*H23+R14*H24</f>
        <v>25371.09102201229</v>
      </c>
      <c r="T12" s="133"/>
      <c r="U12" s="26"/>
    </row>
    <row r="13" spans="1:21" ht="18" customHeight="1" x14ac:dyDescent="0.25">
      <c r="B13" s="108"/>
      <c r="C13" s="106"/>
      <c r="D13" s="113"/>
      <c r="E13" s="44" t="s">
        <v>15</v>
      </c>
      <c r="F13" s="45">
        <f>Prices!B10</f>
        <v>776.13062741044996</v>
      </c>
      <c r="G13" s="69">
        <f>Prices!B6</f>
        <v>581.16061472763158</v>
      </c>
      <c r="H13" s="144">
        <f>Prices!$B$11*C20</f>
        <v>935.18</v>
      </c>
      <c r="I13" s="144"/>
      <c r="J13" s="70">
        <f>J10</f>
        <v>1357.2912421380815</v>
      </c>
      <c r="K13" s="46">
        <f>Prices!B23*'Cost Model'!C21</f>
        <v>420</v>
      </c>
      <c r="L13" s="48">
        <f>2*Prices!B24*(C21)+Prices!B25*C20</f>
        <v>5963.9548056644635</v>
      </c>
      <c r="M13" s="46">
        <f>C26*Prices!$B$20</f>
        <v>63220</v>
      </c>
      <c r="N13" s="49">
        <f t="shared" si="0"/>
        <v>73253.717289940629</v>
      </c>
      <c r="O13" s="117"/>
      <c r="P13" s="133"/>
      <c r="Q13"/>
      <c r="R13" s="49">
        <f t="shared" si="1"/>
        <v>67289.762484276172</v>
      </c>
      <c r="S13" s="117"/>
      <c r="T13" s="133"/>
      <c r="U13" s="26"/>
    </row>
    <row r="14" spans="1:21" ht="18.600000000000001" customHeight="1" thickBot="1" x14ac:dyDescent="0.3">
      <c r="B14" s="109"/>
      <c r="C14" s="110"/>
      <c r="D14" s="115"/>
      <c r="E14" s="78" t="s">
        <v>16</v>
      </c>
      <c r="F14" s="79">
        <f>Prices!B10</f>
        <v>776.13062741044996</v>
      </c>
      <c r="G14" s="80">
        <f>Prices!B6</f>
        <v>581.16061472763158</v>
      </c>
      <c r="H14" s="140">
        <f>Prices!$B$11*C20</f>
        <v>935.18</v>
      </c>
      <c r="I14" s="140"/>
      <c r="J14" s="81">
        <f>J11</f>
        <v>1357.2912421380815</v>
      </c>
      <c r="K14" s="82">
        <f>Prices!B11*'Cost Model'!C22</f>
        <v>13092.519999999999</v>
      </c>
      <c r="L14" s="83">
        <f>Prices!B25*(C20+C22)</f>
        <v>7704.8639353637391</v>
      </c>
      <c r="M14" s="82">
        <f>C27*Prices!$B$20</f>
        <v>94830</v>
      </c>
      <c r="N14" s="84">
        <f t="shared" si="0"/>
        <v>119277.1464196399</v>
      </c>
      <c r="O14" s="122"/>
      <c r="P14" s="137"/>
      <c r="Q14"/>
      <c r="R14" s="84">
        <f t="shared" si="1"/>
        <v>111572.28248427616</v>
      </c>
      <c r="S14" s="122"/>
      <c r="T14" s="137"/>
      <c r="U14" s="26"/>
    </row>
    <row r="15" spans="1:21" ht="12" customHeight="1" thickBo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s="27"/>
      <c r="Q15" s="27"/>
      <c r="R15" s="27"/>
      <c r="S15" s="27"/>
      <c r="T15" s="27"/>
      <c r="U15" s="26"/>
    </row>
    <row r="16" spans="1:21" x14ac:dyDescent="0.25">
      <c r="B16" s="111" t="s">
        <v>20</v>
      </c>
      <c r="C16" s="112"/>
      <c r="D16"/>
      <c r="E16" s="141" t="s">
        <v>21</v>
      </c>
      <c r="F16" s="142"/>
      <c r="G16" s="142"/>
      <c r="H16" s="143"/>
      <c r="I16"/>
      <c r="J16"/>
      <c r="K16" s="138" t="s">
        <v>22</v>
      </c>
      <c r="L16" s="139"/>
      <c r="M16"/>
      <c r="N16"/>
      <c r="O16"/>
      <c r="P16" s="27"/>
      <c r="Q16" s="27"/>
      <c r="R16" s="27"/>
      <c r="S16" s="27"/>
      <c r="T16" s="27"/>
      <c r="U16" s="26"/>
    </row>
    <row r="17" spans="1:21" x14ac:dyDescent="0.25">
      <c r="B17" s="97" t="s">
        <v>23</v>
      </c>
      <c r="C17" s="99" t="s">
        <v>24</v>
      </c>
      <c r="D17"/>
      <c r="E17" s="123" t="s">
        <v>25</v>
      </c>
      <c r="F17" s="124"/>
      <c r="G17" s="129" t="s">
        <v>26</v>
      </c>
      <c r="H17" s="130"/>
      <c r="I17"/>
      <c r="J17"/>
      <c r="K17" s="85" t="s">
        <v>95</v>
      </c>
      <c r="L17" s="23">
        <v>0.5</v>
      </c>
      <c r="M17"/>
      <c r="N17"/>
      <c r="O17" s="86"/>
      <c r="P17" s="27"/>
      <c r="Q17" s="27"/>
      <c r="R17" s="27"/>
      <c r="S17" s="27"/>
      <c r="T17" s="27"/>
      <c r="U17" s="26"/>
    </row>
    <row r="18" spans="1:21" ht="15.6" customHeight="1" x14ac:dyDescent="0.25">
      <c r="B18" s="98"/>
      <c r="C18" s="100"/>
      <c r="D18"/>
      <c r="E18" s="87" t="s">
        <v>27</v>
      </c>
      <c r="F18" s="19">
        <f>1-F19-F20</f>
        <v>0.98599999999999999</v>
      </c>
      <c r="G18" s="88" t="s">
        <v>27</v>
      </c>
      <c r="H18" s="21">
        <f>1-H19-H20</f>
        <v>0.98399999999999999</v>
      </c>
      <c r="I18"/>
      <c r="J18"/>
      <c r="K18" s="89" t="s">
        <v>28</v>
      </c>
      <c r="L18" s="23">
        <v>0.1</v>
      </c>
      <c r="M18"/>
      <c r="N18"/>
      <c r="O18" s="86"/>
      <c r="P18" s="27"/>
      <c r="Q18" s="27"/>
      <c r="R18" s="27"/>
      <c r="S18" s="90"/>
      <c r="T18" s="27"/>
      <c r="U18" s="26"/>
    </row>
    <row r="19" spans="1:21" ht="15.75" thickBot="1" x14ac:dyDescent="0.3">
      <c r="B19" s="101" t="s">
        <v>29</v>
      </c>
      <c r="C19" s="102"/>
      <c r="D19"/>
      <c r="E19" s="87" t="s">
        <v>30</v>
      </c>
      <c r="F19" s="19">
        <v>0.01</v>
      </c>
      <c r="G19" s="88" t="s">
        <v>30</v>
      </c>
      <c r="H19" s="21">
        <v>0.01</v>
      </c>
      <c r="I19"/>
      <c r="J19"/>
      <c r="K19" s="91" t="s">
        <v>31</v>
      </c>
      <c r="L19" s="24">
        <f>1-L18-L17</f>
        <v>0.4</v>
      </c>
      <c r="M19"/>
      <c r="N19"/>
      <c r="O19"/>
      <c r="P19" s="27"/>
      <c r="Q19" s="27"/>
      <c r="R19" s="27"/>
      <c r="S19" s="90"/>
      <c r="T19" s="27"/>
      <c r="U19" s="26"/>
    </row>
    <row r="20" spans="1:21" x14ac:dyDescent="0.25">
      <c r="B20" s="92" t="s">
        <v>93</v>
      </c>
      <c r="C20" s="16">
        <v>1</v>
      </c>
      <c r="D20"/>
      <c r="E20" s="87" t="s">
        <v>32</v>
      </c>
      <c r="F20" s="19">
        <v>4.0000000000000001E-3</v>
      </c>
      <c r="G20" s="88" t="s">
        <v>32</v>
      </c>
      <c r="H20" s="21">
        <v>6.0000000000000001E-3</v>
      </c>
      <c r="I20"/>
      <c r="J20"/>
      <c r="K20"/>
      <c r="L20"/>
      <c r="M20"/>
      <c r="N20"/>
      <c r="O20"/>
      <c r="P20" s="27"/>
      <c r="Q20" s="27"/>
      <c r="R20" s="27"/>
      <c r="S20" s="27"/>
      <c r="T20" s="27"/>
      <c r="U20" s="26"/>
    </row>
    <row r="21" spans="1:21" x14ac:dyDescent="0.25">
      <c r="B21" s="92" t="s">
        <v>33</v>
      </c>
      <c r="C21" s="17">
        <v>7</v>
      </c>
      <c r="D21"/>
      <c r="E21" s="123" t="s">
        <v>31</v>
      </c>
      <c r="F21" s="124"/>
      <c r="G21" s="131" t="s">
        <v>96</v>
      </c>
      <c r="H21" s="132"/>
      <c r="I21"/>
      <c r="J21"/>
      <c r="K21"/>
      <c r="L21"/>
      <c r="M21"/>
      <c r="N21"/>
      <c r="O21"/>
      <c r="P21" s="27"/>
      <c r="Q21" s="27"/>
      <c r="R21" s="27"/>
      <c r="S21" s="27"/>
      <c r="T21" s="27"/>
      <c r="U21" s="26"/>
    </row>
    <row r="22" spans="1:21" x14ac:dyDescent="0.25">
      <c r="B22" s="92" t="s">
        <v>34</v>
      </c>
      <c r="C22" s="17">
        <v>14</v>
      </c>
      <c r="D22"/>
      <c r="E22" s="87" t="s">
        <v>27</v>
      </c>
      <c r="F22" s="19">
        <f>1-F23-F24</f>
        <v>0.99</v>
      </c>
      <c r="G22" s="88" t="s">
        <v>27</v>
      </c>
      <c r="H22" s="21">
        <f>1-H23-H24</f>
        <v>0.98399999999999999</v>
      </c>
      <c r="I22"/>
      <c r="J22" s="86"/>
      <c r="K22"/>
      <c r="L22"/>
      <c r="M22"/>
      <c r="N22"/>
      <c r="O22"/>
      <c r="P22" s="27"/>
      <c r="Q22" s="27"/>
      <c r="R22" s="27"/>
      <c r="S22" s="27"/>
      <c r="T22" s="27"/>
      <c r="U22" s="26"/>
    </row>
    <row r="23" spans="1:21" x14ac:dyDescent="0.25">
      <c r="B23" s="92" t="s">
        <v>87</v>
      </c>
      <c r="C23" s="17">
        <v>3</v>
      </c>
      <c r="D23"/>
      <c r="E23" s="87" t="s">
        <v>30</v>
      </c>
      <c r="F23" s="19">
        <v>0.01</v>
      </c>
      <c r="G23" s="88" t="s">
        <v>30</v>
      </c>
      <c r="H23" s="21">
        <v>0.01</v>
      </c>
      <c r="I23"/>
      <c r="J23" s="86"/>
      <c r="K23"/>
      <c r="L23"/>
      <c r="M23"/>
      <c r="N23"/>
      <c r="O23"/>
      <c r="P23" s="27"/>
      <c r="Q23" s="27"/>
      <c r="R23" s="27"/>
      <c r="S23" s="93"/>
      <c r="T23" s="90"/>
      <c r="U23" s="26"/>
    </row>
    <row r="24" spans="1:21" ht="15.75" thickBot="1" x14ac:dyDescent="0.3">
      <c r="B24" s="101" t="s">
        <v>35</v>
      </c>
      <c r="C24" s="102"/>
      <c r="D24"/>
      <c r="E24" s="94" t="s">
        <v>32</v>
      </c>
      <c r="F24" s="20">
        <v>0</v>
      </c>
      <c r="G24" s="95" t="s">
        <v>32</v>
      </c>
      <c r="H24" s="22">
        <v>6.0000000000000001E-3</v>
      </c>
      <c r="I24"/>
      <c r="J24" s="86"/>
      <c r="K24"/>
      <c r="L24"/>
      <c r="M24"/>
      <c r="N24"/>
      <c r="O24"/>
      <c r="P24" s="27"/>
      <c r="Q24" s="27"/>
      <c r="R24" s="27"/>
      <c r="S24" s="93"/>
      <c r="T24" s="27"/>
      <c r="U24" s="26"/>
    </row>
    <row r="25" spans="1:21" x14ac:dyDescent="0.25">
      <c r="B25" s="92" t="s">
        <v>14</v>
      </c>
      <c r="C25" s="17">
        <v>7</v>
      </c>
      <c r="D25"/>
      <c r="E25"/>
      <c r="F25"/>
      <c r="G25"/>
      <c r="H25"/>
      <c r="I25"/>
      <c r="J25" s="86"/>
      <c r="K25"/>
      <c r="L25"/>
      <c r="M25"/>
      <c r="N25"/>
      <c r="O25"/>
      <c r="P25" s="27"/>
      <c r="Q25" s="27"/>
      <c r="R25" s="27"/>
      <c r="S25" s="27"/>
      <c r="T25" s="27"/>
      <c r="U25" s="26"/>
    </row>
    <row r="26" spans="1:21" x14ac:dyDescent="0.25">
      <c r="B26" s="92" t="s">
        <v>15</v>
      </c>
      <c r="C26" s="17">
        <v>20</v>
      </c>
      <c r="D26"/>
      <c r="E26"/>
      <c r="F26"/>
      <c r="G26"/>
      <c r="H26"/>
      <c r="I26"/>
      <c r="J26"/>
      <c r="K26"/>
      <c r="L26"/>
      <c r="M26"/>
      <c r="N26"/>
      <c r="O26"/>
      <c r="P26" s="27"/>
      <c r="Q26" s="27"/>
      <c r="R26" s="27"/>
      <c r="S26" s="27"/>
      <c r="T26" s="27"/>
      <c r="U26" s="26"/>
    </row>
    <row r="27" spans="1:21" ht="15.75" thickBot="1" x14ac:dyDescent="0.3">
      <c r="B27" s="96" t="s">
        <v>36</v>
      </c>
      <c r="C27" s="18">
        <v>30</v>
      </c>
      <c r="D27"/>
      <c r="E27" s="3"/>
      <c r="F27"/>
      <c r="G27"/>
      <c r="H27"/>
      <c r="I27"/>
      <c r="J27"/>
      <c r="K27"/>
      <c r="L27"/>
      <c r="M27"/>
      <c r="N27"/>
      <c r="O27"/>
      <c r="P27" s="27"/>
      <c r="Q27" s="27"/>
      <c r="R27" s="27"/>
      <c r="S27" s="27"/>
      <c r="T27" s="27"/>
      <c r="U27" s="26"/>
    </row>
    <row r="28" spans="1:21" ht="6" customHeight="1" x14ac:dyDescent="0.25">
      <c r="B28"/>
      <c r="C28"/>
      <c r="D28"/>
      <c r="E28" s="3"/>
      <c r="F28"/>
      <c r="G28"/>
      <c r="H28"/>
      <c r="I28"/>
      <c r="J28"/>
      <c r="K28"/>
      <c r="L28"/>
      <c r="M28"/>
      <c r="N28"/>
      <c r="O28"/>
      <c r="P28" s="27"/>
      <c r="Q28" s="27"/>
      <c r="R28" s="27"/>
      <c r="S28" s="27"/>
      <c r="T28" s="27"/>
      <c r="U28" s="26"/>
    </row>
    <row r="29" spans="1:21" ht="3.6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28"/>
      <c r="Q29" s="28"/>
      <c r="R29" s="28"/>
      <c r="S29" s="28"/>
      <c r="T29" s="28"/>
      <c r="U29" s="29"/>
    </row>
    <row r="30" spans="1:21" ht="3.6" customHeight="1" x14ac:dyDescent="0.25">
      <c r="A30" s="5"/>
    </row>
    <row r="31" spans="1:21" x14ac:dyDescent="0.25">
      <c r="A31" s="5"/>
    </row>
    <row r="32" spans="1:2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</sheetData>
  <sheetProtection algorithmName="SHA-512" hashValue="Vp1Yh/fRo/TiJ/rrRoouBkRjfFW/NeI4lSRlfvAfmVs4dWwuKd2todT9LqqetZQ2/aglHf/P/hGBxFH9oef40g==" saltValue="D8ZR+iiqBIH2RJeL7HqUug==" spinCount="100000" sheet="1" objects="1" scenarios="1"/>
  <mergeCells count="41">
    <mergeCell ref="S3:S5"/>
    <mergeCell ref="T3:T5"/>
    <mergeCell ref="S6:S8"/>
    <mergeCell ref="T6:T14"/>
    <mergeCell ref="S9:S11"/>
    <mergeCell ref="S12:S14"/>
    <mergeCell ref="P3:P5"/>
    <mergeCell ref="P6:P14"/>
    <mergeCell ref="K16:L16"/>
    <mergeCell ref="H14:I14"/>
    <mergeCell ref="E16:H16"/>
    <mergeCell ref="H8:I8"/>
    <mergeCell ref="H10:I10"/>
    <mergeCell ref="H9:I9"/>
    <mergeCell ref="H11:I11"/>
    <mergeCell ref="H12:I12"/>
    <mergeCell ref="H13:I13"/>
    <mergeCell ref="E17:F17"/>
    <mergeCell ref="H7:I7"/>
    <mergeCell ref="E21:F21"/>
    <mergeCell ref="H3:I3"/>
    <mergeCell ref="H4:I4"/>
    <mergeCell ref="H5:I5"/>
    <mergeCell ref="H6:I6"/>
    <mergeCell ref="G17:H17"/>
    <mergeCell ref="G21:H21"/>
    <mergeCell ref="D9:D11"/>
    <mergeCell ref="D12:D14"/>
    <mergeCell ref="O3:O5"/>
    <mergeCell ref="O6:O8"/>
    <mergeCell ref="O9:O11"/>
    <mergeCell ref="O12:O14"/>
    <mergeCell ref="B17:B18"/>
    <mergeCell ref="C17:C18"/>
    <mergeCell ref="B19:C19"/>
    <mergeCell ref="B24:C24"/>
    <mergeCell ref="B3:B5"/>
    <mergeCell ref="C6:C8"/>
    <mergeCell ref="B6:B14"/>
    <mergeCell ref="C9:C14"/>
    <mergeCell ref="B16:C1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F06F-6817-43DC-A89C-FCBD7E0C435B}">
  <sheetPr codeName="Sheet3"/>
  <dimension ref="A1:D52"/>
  <sheetViews>
    <sheetView workbookViewId="0">
      <selection activeCell="B30" sqref="B30"/>
    </sheetView>
  </sheetViews>
  <sheetFormatPr defaultRowHeight="15" x14ac:dyDescent="0.25"/>
  <cols>
    <col min="1" max="1" width="68.140625" bestFit="1" customWidth="1"/>
    <col min="2" max="2" width="9.7109375" customWidth="1"/>
    <col min="3" max="3" width="91.7109375" customWidth="1"/>
    <col min="4" max="4" width="91.7109375" bestFit="1" customWidth="1"/>
  </cols>
  <sheetData>
    <row r="1" spans="1:4" s="8" customFormat="1" ht="18.75" x14ac:dyDescent="0.3">
      <c r="A1" s="7" t="s">
        <v>37</v>
      </c>
      <c r="B1" s="7" t="s">
        <v>38</v>
      </c>
      <c r="C1" s="9" t="s">
        <v>39</v>
      </c>
      <c r="D1" s="7" t="s">
        <v>40</v>
      </c>
    </row>
    <row r="2" spans="1:4" x14ac:dyDescent="0.25">
      <c r="A2" t="s">
        <v>41</v>
      </c>
      <c r="B2" s="15">
        <v>3317</v>
      </c>
      <c r="C2" s="1" t="s">
        <v>42</v>
      </c>
      <c r="D2" t="s">
        <v>43</v>
      </c>
    </row>
    <row r="3" spans="1:4" x14ac:dyDescent="0.25">
      <c r="A3" s="1" t="s">
        <v>44</v>
      </c>
      <c r="B3" s="15">
        <v>88</v>
      </c>
      <c r="C3" s="1"/>
      <c r="D3" t="s">
        <v>45</v>
      </c>
    </row>
    <row r="4" spans="1:4" x14ac:dyDescent="0.25">
      <c r="A4" s="1" t="s">
        <v>46</v>
      </c>
      <c r="B4" s="15">
        <v>202</v>
      </c>
      <c r="C4" s="1"/>
      <c r="D4" t="s">
        <v>45</v>
      </c>
    </row>
    <row r="5" spans="1:4" x14ac:dyDescent="0.25">
      <c r="A5" s="1" t="s">
        <v>47</v>
      </c>
      <c r="B5" s="15">
        <v>175</v>
      </c>
      <c r="C5" s="1"/>
      <c r="D5" t="s">
        <v>45</v>
      </c>
    </row>
    <row r="6" spans="1:4" x14ac:dyDescent="0.25">
      <c r="A6" t="s">
        <v>48</v>
      </c>
      <c r="B6" s="15">
        <f>SUM(B3:B5)*B29</f>
        <v>581.16061472763158</v>
      </c>
      <c r="C6" s="1" t="s">
        <v>49</v>
      </c>
      <c r="D6" t="s">
        <v>45</v>
      </c>
    </row>
    <row r="7" spans="1:4" x14ac:dyDescent="0.25">
      <c r="A7" s="1" t="s">
        <v>50</v>
      </c>
      <c r="B7" s="15">
        <v>270</v>
      </c>
      <c r="C7" s="1"/>
      <c r="D7" t="s">
        <v>45</v>
      </c>
    </row>
    <row r="8" spans="1:4" x14ac:dyDescent="0.25">
      <c r="A8" s="1" t="s">
        <v>51</v>
      </c>
      <c r="B8" s="15">
        <v>297</v>
      </c>
      <c r="C8" s="1"/>
      <c r="D8" t="s">
        <v>45</v>
      </c>
    </row>
    <row r="9" spans="1:4" x14ac:dyDescent="0.25">
      <c r="A9" s="1" t="s">
        <v>52</v>
      </c>
      <c r="B9" s="15">
        <v>54</v>
      </c>
      <c r="C9" s="1"/>
      <c r="D9" t="s">
        <v>45</v>
      </c>
    </row>
    <row r="10" spans="1:4" ht="30" x14ac:dyDescent="0.25">
      <c r="A10" t="s">
        <v>53</v>
      </c>
      <c r="B10" s="15">
        <f>SUM(B7:B9)*B29</f>
        <v>776.13062741044996</v>
      </c>
      <c r="C10" s="1" t="s">
        <v>54</v>
      </c>
      <c r="D10" t="s">
        <v>45</v>
      </c>
    </row>
    <row r="11" spans="1:4" x14ac:dyDescent="0.25">
      <c r="A11" t="s">
        <v>55</v>
      </c>
      <c r="B11" s="15">
        <v>935.18</v>
      </c>
      <c r="C11" s="1" t="s">
        <v>56</v>
      </c>
      <c r="D11" t="s">
        <v>43</v>
      </c>
    </row>
    <row r="12" spans="1:4" x14ac:dyDescent="0.25">
      <c r="A12" t="s">
        <v>57</v>
      </c>
      <c r="B12" s="15">
        <v>97.37</v>
      </c>
      <c r="C12" s="1" t="s">
        <v>58</v>
      </c>
      <c r="D12" t="s">
        <v>43</v>
      </c>
    </row>
    <row r="13" spans="1:4" ht="18" customHeight="1" x14ac:dyDescent="0.25">
      <c r="A13" t="s">
        <v>59</v>
      </c>
      <c r="B13" s="15">
        <v>18.190000000000001</v>
      </c>
      <c r="C13" s="1" t="s">
        <v>60</v>
      </c>
      <c r="D13" t="s">
        <v>43</v>
      </c>
    </row>
    <row r="14" spans="1:4" x14ac:dyDescent="0.25">
      <c r="A14" t="s">
        <v>61</v>
      </c>
      <c r="B14" s="15">
        <f>B22*2+B13</f>
        <v>58.19</v>
      </c>
      <c r="C14" s="1" t="s">
        <v>62</v>
      </c>
      <c r="D14" t="s">
        <v>43</v>
      </c>
    </row>
    <row r="15" spans="1:4" x14ac:dyDescent="0.25">
      <c r="A15" t="s">
        <v>24</v>
      </c>
      <c r="B15" s="15">
        <f>1886.52</f>
        <v>1886.52</v>
      </c>
      <c r="C15" s="1" t="s">
        <v>63</v>
      </c>
      <c r="D15" t="s">
        <v>43</v>
      </c>
    </row>
    <row r="16" spans="1:4" x14ac:dyDescent="0.25">
      <c r="A16" s="1" t="s">
        <v>64</v>
      </c>
      <c r="B16" s="15">
        <v>1215</v>
      </c>
      <c r="D16" t="s">
        <v>43</v>
      </c>
    </row>
    <row r="17" spans="1:4" x14ac:dyDescent="0.25">
      <c r="A17" s="1" t="s">
        <v>65</v>
      </c>
      <c r="B17" s="15">
        <v>945</v>
      </c>
      <c r="D17" t="s">
        <v>43</v>
      </c>
    </row>
    <row r="18" spans="1:4" x14ac:dyDescent="0.25">
      <c r="A18" s="1" t="s">
        <v>66</v>
      </c>
      <c r="B18" s="15">
        <v>153</v>
      </c>
      <c r="D18" t="s">
        <v>43</v>
      </c>
    </row>
    <row r="19" spans="1:4" x14ac:dyDescent="0.25">
      <c r="A19" s="1" t="s">
        <v>67</v>
      </c>
      <c r="B19" s="15">
        <v>216</v>
      </c>
      <c r="D19" t="s">
        <v>43</v>
      </c>
    </row>
    <row r="20" spans="1:4" ht="30" x14ac:dyDescent="0.25">
      <c r="A20" t="s">
        <v>9</v>
      </c>
      <c r="B20" s="15">
        <v>3161</v>
      </c>
      <c r="C20" s="1" t="s">
        <v>68</v>
      </c>
      <c r="D20" t="s">
        <v>45</v>
      </c>
    </row>
    <row r="21" spans="1:4" ht="16.149999999999999" customHeight="1" x14ac:dyDescent="0.25">
      <c r="A21" s="1" t="s">
        <v>69</v>
      </c>
      <c r="B21" s="15">
        <v>2944.8</v>
      </c>
      <c r="C21" s="1" t="s">
        <v>70</v>
      </c>
      <c r="D21" t="s">
        <v>43</v>
      </c>
    </row>
    <row r="22" spans="1:4" x14ac:dyDescent="0.25">
      <c r="A22" t="s">
        <v>71</v>
      </c>
      <c r="B22" s="15">
        <v>20</v>
      </c>
      <c r="C22" s="1" t="s">
        <v>72</v>
      </c>
      <c r="D22" t="s">
        <v>43</v>
      </c>
    </row>
    <row r="23" spans="1:4" x14ac:dyDescent="0.25">
      <c r="A23" t="s">
        <v>73</v>
      </c>
      <c r="B23" s="15">
        <f>B22*3</f>
        <v>60</v>
      </c>
      <c r="C23" s="2" t="s">
        <v>74</v>
      </c>
      <c r="D23" t="s">
        <v>43</v>
      </c>
    </row>
    <row r="24" spans="1:4" x14ac:dyDescent="0.25">
      <c r="A24" t="s">
        <v>75</v>
      </c>
      <c r="B24" s="15">
        <f>9.58*B27*B28</f>
        <v>389.30694356953904</v>
      </c>
      <c r="D24" s="2" t="s">
        <v>76</v>
      </c>
    </row>
    <row r="25" spans="1:4" x14ac:dyDescent="0.25">
      <c r="A25" t="s">
        <v>77</v>
      </c>
      <c r="B25" s="15">
        <f>12.64*B27*B28</f>
        <v>513.65759569091597</v>
      </c>
      <c r="D25" s="2" t="s">
        <v>76</v>
      </c>
    </row>
    <row r="26" spans="1:4" x14ac:dyDescent="0.25">
      <c r="A26" t="s">
        <v>78</v>
      </c>
      <c r="B26" s="15">
        <f>34.52*B27*B28</f>
        <v>1402.8053958267735</v>
      </c>
      <c r="D26" s="2" t="s">
        <v>76</v>
      </c>
    </row>
    <row r="27" spans="1:4" x14ac:dyDescent="0.25">
      <c r="A27" t="s">
        <v>79</v>
      </c>
      <c r="B27" s="15">
        <v>36.729999999999997</v>
      </c>
      <c r="D27" t="s">
        <v>80</v>
      </c>
    </row>
    <row r="28" spans="1:4" x14ac:dyDescent="0.25">
      <c r="A28" t="s">
        <v>81</v>
      </c>
      <c r="B28" s="15">
        <v>1.1063835560447</v>
      </c>
      <c r="C28" t="s">
        <v>82</v>
      </c>
      <c r="D28" t="s">
        <v>83</v>
      </c>
    </row>
    <row r="29" spans="1:4" x14ac:dyDescent="0.25">
      <c r="A29" t="s">
        <v>84</v>
      </c>
      <c r="B29" s="15">
        <v>1.2498077736078099</v>
      </c>
      <c r="C29" t="s">
        <v>85</v>
      </c>
      <c r="D29" t="s">
        <v>83</v>
      </c>
    </row>
    <row r="30" spans="1:4" x14ac:dyDescent="0.25">
      <c r="A30" t="s">
        <v>88</v>
      </c>
      <c r="B30">
        <v>140</v>
      </c>
      <c r="C30" t="s">
        <v>89</v>
      </c>
      <c r="D30" t="s">
        <v>90</v>
      </c>
    </row>
    <row r="31" spans="1:4" x14ac:dyDescent="0.25">
      <c r="A31" t="s">
        <v>91</v>
      </c>
      <c r="B31" s="15">
        <v>60</v>
      </c>
      <c r="C31" t="s">
        <v>92</v>
      </c>
    </row>
    <row r="36" spans="1:4" ht="15.75" x14ac:dyDescent="0.25">
      <c r="A36" s="11"/>
      <c r="C36" s="10"/>
    </row>
    <row r="38" spans="1:4" x14ac:dyDescent="0.25">
      <c r="A38" s="12"/>
    </row>
    <row r="47" spans="1:4" x14ac:dyDescent="0.25">
      <c r="A47" s="13"/>
      <c r="D47" s="14"/>
    </row>
    <row r="48" spans="1:4" x14ac:dyDescent="0.25">
      <c r="A48" s="13"/>
    </row>
    <row r="50" spans="1:1" x14ac:dyDescent="0.25">
      <c r="A50" s="13"/>
    </row>
    <row r="52" spans="1:1" x14ac:dyDescent="0.25">
      <c r="A52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Model</vt:lpstr>
      <vt:lpstr>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Mariano Ratto</dc:creator>
  <cp:keywords/>
  <dc:description/>
  <cp:lastModifiedBy>Mariano Ratto</cp:lastModifiedBy>
  <cp:revision/>
  <dcterms:created xsi:type="dcterms:W3CDTF">2024-06-20T08:10:21Z</dcterms:created>
  <dcterms:modified xsi:type="dcterms:W3CDTF">2026-10-17T02:25:47Z</dcterms:modified>
  <cp:category/>
  <cp:contentStatus/>
</cp:coreProperties>
</file>